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ago\Desktop\doc\"/>
    </mc:Choice>
  </mc:AlternateContent>
  <xr:revisionPtr revIDLastSave="0" documentId="13_ncr:1_{79839859-F4DB-409E-82AC-F24BBBE7478C}" xr6:coauthVersionLast="47" xr6:coauthVersionMax="47" xr10:uidLastSave="{00000000-0000-0000-0000-000000000000}"/>
  <bookViews>
    <workbookView xWindow="-108" yWindow="-108" windowWidth="23256" windowHeight="12456" xr2:uid="{199A04F8-C9EE-4937-9D8E-DB9E9AAFD4FF}"/>
  </bookViews>
  <sheets>
    <sheet name="Planilh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0" i="1" l="1"/>
  <c r="I60" i="1" s="1"/>
  <c r="J60" i="1" s="1"/>
  <c r="E59" i="1"/>
  <c r="I59" i="1" s="1"/>
  <c r="J59" i="1" s="1"/>
  <c r="E58" i="1"/>
  <c r="I58" i="1" s="1"/>
  <c r="J58" i="1" s="1"/>
  <c r="E57" i="1"/>
  <c r="I57" i="1" s="1"/>
  <c r="J57" i="1" s="1"/>
  <c r="I30" i="1"/>
  <c r="D66" i="1"/>
  <c r="E66" i="1" s="1"/>
  <c r="I66" i="1" s="1"/>
  <c r="J66" i="1" s="1"/>
  <c r="D65" i="1"/>
  <c r="E65" i="1" s="1"/>
  <c r="I65" i="1" s="1"/>
  <c r="J65" i="1" s="1"/>
  <c r="D64" i="1"/>
  <c r="E64" i="1" s="1"/>
  <c r="I64" i="1" s="1"/>
  <c r="J64" i="1" s="1"/>
  <c r="D63" i="1"/>
  <c r="E63" i="1" s="1"/>
  <c r="I63" i="1" s="1"/>
  <c r="J63" i="1" s="1"/>
  <c r="D62" i="1"/>
  <c r="E62" i="1" s="1"/>
  <c r="I62" i="1" s="1"/>
  <c r="J62" i="1" s="1"/>
  <c r="D61" i="1"/>
  <c r="E61" i="1" s="1"/>
  <c r="I61" i="1" s="1"/>
  <c r="J61" i="1" s="1"/>
  <c r="D60" i="1"/>
  <c r="D59" i="1"/>
  <c r="D58" i="1"/>
  <c r="D57" i="1"/>
  <c r="D56" i="1"/>
  <c r="E56" i="1" s="1"/>
  <c r="I56" i="1" s="1"/>
  <c r="D55" i="1"/>
  <c r="E55" i="1" s="1"/>
  <c r="D54" i="1"/>
  <c r="E54" i="1" s="1"/>
  <c r="I54" i="1" s="1"/>
  <c r="D53" i="1"/>
  <c r="E53" i="1" s="1"/>
  <c r="D52" i="1"/>
  <c r="E52" i="1" s="1"/>
  <c r="I52" i="1" s="1"/>
  <c r="D51" i="1"/>
  <c r="E51" i="1" s="1"/>
  <c r="D50" i="1"/>
  <c r="D49" i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I42" i="1" s="1"/>
  <c r="D41" i="1"/>
  <c r="E41" i="1" s="1"/>
  <c r="I41" i="1" s="1"/>
  <c r="D40" i="1"/>
  <c r="E40" i="1" s="1"/>
  <c r="I40" i="1" s="1"/>
  <c r="D39" i="1"/>
  <c r="E39" i="1" s="1"/>
  <c r="I39" i="1" s="1"/>
  <c r="D38" i="1"/>
  <c r="E38" i="1" s="1"/>
  <c r="I38" i="1" s="1"/>
  <c r="D37" i="1"/>
  <c r="E37" i="1" s="1"/>
  <c r="D36" i="1"/>
  <c r="E36" i="1" s="1"/>
  <c r="D35" i="1"/>
  <c r="E35" i="1" s="1"/>
  <c r="I35" i="1" s="1"/>
  <c r="D34" i="1"/>
  <c r="D33" i="1"/>
  <c r="E33" i="1" s="1"/>
  <c r="D32" i="1"/>
  <c r="D31" i="1"/>
  <c r="E31" i="1" s="1"/>
  <c r="D30" i="1"/>
  <c r="D29" i="1"/>
  <c r="E29" i="1" s="1"/>
  <c r="D28" i="1"/>
  <c r="E28" i="1" s="1"/>
  <c r="I28" i="1" s="1"/>
  <c r="D27" i="1"/>
  <c r="D26" i="1"/>
  <c r="D25" i="1"/>
  <c r="E25" i="1" s="1"/>
  <c r="I25" i="1" s="1"/>
  <c r="D24" i="1"/>
  <c r="E24" i="1" s="1"/>
  <c r="I24" i="1" s="1"/>
  <c r="D23" i="1"/>
  <c r="E23" i="1" s="1"/>
  <c r="D22" i="1"/>
  <c r="E22" i="1" s="1"/>
  <c r="I22" i="1" s="1"/>
  <c r="D21" i="1"/>
  <c r="E21" i="1" s="1"/>
  <c r="D20" i="1"/>
  <c r="E20" i="1" s="1"/>
  <c r="I20" i="1" s="1"/>
  <c r="D19" i="1"/>
  <c r="E19" i="1" s="1"/>
  <c r="I19" i="1" s="1"/>
  <c r="D18" i="1"/>
  <c r="E18" i="1" s="1"/>
  <c r="I18" i="1" s="1"/>
  <c r="D17" i="1"/>
  <c r="E17" i="1" s="1"/>
  <c r="D16" i="1"/>
  <c r="D15" i="1"/>
  <c r="E15" i="1" s="1"/>
  <c r="D14" i="1"/>
  <c r="E14" i="1" s="1"/>
  <c r="D13" i="1"/>
  <c r="E13" i="1" s="1"/>
  <c r="D12" i="1"/>
  <c r="E12" i="1" s="1"/>
  <c r="D11" i="1"/>
  <c r="E11" i="1" s="1"/>
  <c r="I11" i="1" s="1"/>
  <c r="D10" i="1"/>
  <c r="E10" i="1" s="1"/>
  <c r="I10" i="1" s="1"/>
  <c r="D9" i="1"/>
  <c r="E9" i="1" s="1"/>
  <c r="I9" i="1" s="1"/>
  <c r="D8" i="1"/>
  <c r="E8" i="1" s="1"/>
  <c r="I8" i="1" s="1"/>
  <c r="D7" i="1"/>
  <c r="E7" i="1" s="1"/>
  <c r="D6" i="1"/>
  <c r="E6" i="1" s="1"/>
  <c r="D5" i="1"/>
  <c r="E5" i="1" s="1"/>
  <c r="I5" i="1" s="1"/>
  <c r="D4" i="1"/>
  <c r="E4" i="1" s="1"/>
  <c r="I4" i="1" s="1"/>
  <c r="D3" i="1"/>
  <c r="E3" i="1" s="1"/>
  <c r="E50" i="1"/>
  <c r="E49" i="1"/>
  <c r="I49" i="1" s="1"/>
  <c r="E34" i="1"/>
  <c r="I34" i="1" s="1"/>
  <c r="E32" i="1"/>
  <c r="E16" i="1"/>
  <c r="D2" i="1"/>
  <c r="E2" i="1" s="1"/>
  <c r="I2" i="1" s="1"/>
  <c r="J2" i="1" s="1"/>
  <c r="E27" i="1"/>
  <c r="I27" i="1" s="1"/>
  <c r="E26" i="1"/>
  <c r="I26" i="1" s="1"/>
  <c r="I47" i="1" l="1"/>
  <c r="J47" i="1" s="1"/>
  <c r="I14" i="1"/>
  <c r="J14" i="1" s="1"/>
  <c r="I46" i="1"/>
  <c r="J46" i="1" s="1"/>
  <c r="I31" i="1"/>
  <c r="J31" i="1" s="1"/>
  <c r="I48" i="1"/>
  <c r="J48" i="1" s="1"/>
  <c r="I17" i="1"/>
  <c r="J17" i="1" s="1"/>
  <c r="I45" i="1"/>
  <c r="J45" i="1" s="1"/>
  <c r="J50" i="1"/>
  <c r="J37" i="1"/>
  <c r="I37" i="1"/>
  <c r="I6" i="1"/>
  <c r="J6" i="1" s="1"/>
  <c r="I16" i="1"/>
  <c r="J16" i="1" s="1"/>
  <c r="I50" i="1"/>
  <c r="J35" i="1"/>
  <c r="J36" i="1"/>
  <c r="J21" i="1"/>
  <c r="I23" i="1"/>
  <c r="J23" i="1" s="1"/>
  <c r="I13" i="1"/>
  <c r="J13" i="1" s="1"/>
  <c r="J32" i="1"/>
  <c r="J15" i="1"/>
  <c r="I15" i="1"/>
  <c r="I51" i="1"/>
  <c r="J51" i="1" s="1"/>
  <c r="I53" i="1"/>
  <c r="J53" i="1" s="1"/>
  <c r="I7" i="1"/>
  <c r="J7" i="1" s="1"/>
  <c r="I43" i="1"/>
  <c r="J43" i="1" s="1"/>
  <c r="I29" i="1"/>
  <c r="J29" i="1" s="1"/>
  <c r="I32" i="1"/>
  <c r="J49" i="1"/>
  <c r="I33" i="1"/>
  <c r="J33" i="1" s="1"/>
  <c r="I3" i="1"/>
  <c r="J3" i="1" s="1"/>
  <c r="J52" i="1"/>
  <c r="I36" i="1"/>
  <c r="J5" i="1"/>
  <c r="I21" i="1"/>
  <c r="J26" i="1"/>
  <c r="J27" i="1"/>
  <c r="I55" i="1"/>
  <c r="J55" i="1" s="1"/>
  <c r="I12" i="1"/>
  <c r="J12" i="1" s="1"/>
  <c r="I44" i="1"/>
  <c r="J44" i="1" s="1"/>
  <c r="J56" i="1"/>
  <c r="J54" i="1"/>
  <c r="J42" i="1"/>
  <c r="J41" i="1"/>
  <c r="J40" i="1"/>
  <c r="J38" i="1"/>
  <c r="J28" i="1"/>
  <c r="J25" i="1"/>
  <c r="J24" i="1"/>
  <c r="J22" i="1"/>
  <c r="J19" i="1"/>
  <c r="J20" i="1"/>
  <c r="J11" i="1"/>
  <c r="J10" i="1"/>
  <c r="J8" i="1"/>
  <c r="J4" i="1"/>
  <c r="J18" i="1"/>
  <c r="J39" i="1"/>
  <c r="J9" i="1"/>
  <c r="J34" i="1"/>
</calcChain>
</file>

<file path=xl/sharedStrings.xml><?xml version="1.0" encoding="utf-8"?>
<sst xmlns="http://schemas.openxmlformats.org/spreadsheetml/2006/main" count="76" uniqueCount="76">
  <si>
    <t>Multi-Label Punitive KNN with Self-Adjusting Memory for Drifting Data Streams</t>
  </si>
  <si>
    <t>A Novel Online Stacked Ensemble for Multi-Label Stream Classification</t>
  </si>
  <si>
    <t>Adaptive ensemble of self-adjusting nearest neighbor subspaces for multi-label drifting data streams</t>
  </si>
  <si>
    <t>High-Dimensional Multi-Label Data Stream Classification With Concept Drifting Detection</t>
  </si>
  <si>
    <t>Co-training Based on Semi-Supervised Ensemble Classification Approach for Multi-label Data Stream</t>
  </si>
  <si>
    <t>Multi-Label kNN classifier with Online Dual Memory on data stream</t>
  </si>
  <si>
    <t>An Incremental Kernel Extreme Learning Machine for Multi-Label Learning With Emerging New Labels</t>
  </si>
  <si>
    <t>Adaptive Model over a Multi-label Streaming Data</t>
  </si>
  <si>
    <t>An Online Variational Inference and Ensemble Based Multi-label Classifier for Data Streams</t>
  </si>
  <si>
    <t>Modeling Multi-label Recurrence in Data Streams</t>
  </si>
  <si>
    <t>Pruned Sets for Multi-Label Stream Classification without True Labels</t>
  </si>
  <si>
    <t>Multi-Label Learning with Emerging New Labels</t>
  </si>
  <si>
    <t>Novelty Detection for Multi-Label Stream Classification</t>
  </si>
  <si>
    <t>Robust Online Multilabel Learning Under Dynamic Changes in Data Distribution With Labels</t>
  </si>
  <si>
    <t>A novel progressive multi-label classifier for class-incremental data</t>
  </si>
  <si>
    <t>Online Semi-Supervised Classification on Multilabel Evolving High-Dimensional Text Streams</t>
  </si>
  <si>
    <t>An Online Active Multi-label Classification Algorithm Based on a Hybrid Label Query Strategy</t>
  </si>
  <si>
    <t>Online Label Distribution Learning Using Random Vector Functional-Link Network</t>
  </si>
  <si>
    <t>{ROSE}: robust online self-adjusting ensemble for continual learning on imbalanced drifting data streams</t>
  </si>
  <si>
    <t>Dynamic principal projection for cost-sensitive online multi-label classification</t>
  </si>
  <si>
    <t>Dynamic Multi-label Learning with Multiple New Labels</t>
  </si>
  <si>
    <t>Aging and Rejuvenating Strategies for Fading Windows in Multi-Label Classification on Data Streams</t>
  </si>
  <si>
    <t>A new self-organizing map based algorithm for multi-label stream classification</t>
  </si>
  <si>
    <t>Multi-label kNN Classifier with Self Adjusting Memory for Drifting Data Streams</t>
  </si>
  <si>
    <t>An Efficient Framework for Multi-Label Learning in Non-stationary Data Stream</t>
  </si>
  <si>
    <t>Multi-label classification from high-speed data streams with adaptive model rules and random rules</t>
  </si>
  <si>
    <t>Novelty detection for multi-label stream classification under extreme verification latency</t>
  </si>
  <si>
    <t>Unsupervised concept drift detection for multi-label data streams</t>
  </si>
  <si>
    <t>A Weighted Ensemble Classification Algorithm Based on Nearest Neighbors for Multi-Label Data Stream</t>
  </si>
  <si>
    <t>Weighted ensemble classification of multi-label data streams</t>
  </si>
  <si>
    <t>An online universal classifier for binary, multi-class and multi-label classification</t>
  </si>
  <si>
    <t>Methods for Predicting the Rise of the New Labels from a High-Dimensional Data Stream</t>
  </si>
  <si>
    <t>Semi-Supervised Online Kernel Extreme Learning Machine for Multi-Label Data Stream Classification</t>
  </si>
  <si>
    <t>Improved Ensemble Classification for Evolving Data Streams</t>
  </si>
  <si>
    <t>Incremental deep forest for multi-label data streams learning</t>
  </si>
  <si>
    <t>Social stream classification with emerging new labels</t>
  </si>
  <si>
    <t>Multi-label classification via incremental clustering on an evolving data stream</t>
  </si>
  <si>
    <t>Online multi-label classification with adaptive model rules</t>
  </si>
  <si>
    <t>Multi-label classification via multi-target regression on data streams</t>
  </si>
  <si>
    <t>Evolving multi-label fuzzy classifier</t>
  </si>
  <si>
    <t>Imbalanced Continual Learning with Partitioning Reservoir Sampling</t>
  </si>
  <si>
    <t>Self-adjusting k nearest neighbors for continual learning from multi-label drifting data streams</t>
  </si>
  <si>
    <t>Multi-label classification via label correlation and first order feature dependance in a data stream</t>
  </si>
  <si>
    <t>A novel online real-time classifier for multi-label data streams</t>
  </si>
  <si>
    <t>A label compression method for online multi-label classification</t>
  </si>
  <si>
    <t>Efficient ensemble classification for multi-label data streams with concept drift</t>
  </si>
  <si>
    <t>ML-KELM: A Kernel Extreme Learning Machine Scheme for Multi-Label Classification of Real Time Data Stream in SIoT</t>
  </si>
  <si>
    <t>Label Powerset for Multi-label Data Streams Classification with Concept Drift</t>
  </si>
  <si>
    <t>Probabilistic Label Tree for Streaming Multi-Label Learning</t>
  </si>
  <si>
    <t xml:space="preserve">A novel online multi-label classifier for high-speed streaming data applications </t>
  </si>
  <si>
    <t>Online multi-label dependency topic models for text classiﬁcation</t>
  </si>
  <si>
    <t>Concept drift detection with False Positive rate for multi-label classification in IoT data stream</t>
  </si>
  <si>
    <t>Online Semi-supervised Multi-label Classification with Label Compression and Local Smooth Regression</t>
  </si>
  <si>
    <t>Online Metric Learning for Multi-Label Classification</t>
  </si>
  <si>
    <t>total</t>
  </si>
  <si>
    <t>NO</t>
  </si>
  <si>
    <t>An Algorithm Adaptation Method for Multi-Label Stream Classification using Self-Organizing Maps</t>
  </si>
  <si>
    <t>Online Multi-Label Classification with Scalable Margin Robust to Missing Labels</t>
  </si>
  <si>
    <t>Application Research of Multi-label Learning Under Concept Drift</t>
  </si>
  <si>
    <t>Prioritized Binary Transformation Method for Efficient Multi-label Classification of Data Streams with Many Labels</t>
  </si>
  <si>
    <t>Balancing efficiency vs. effectiveness and providing missing label robustness in multi-label stream classification</t>
  </si>
  <si>
    <t>Imbalance-Robust Multi-Label Self-Adjusting kNN</t>
  </si>
  <si>
    <t>Weak Multi-Label Data Stream Classification Under Distribution Changes in Labels</t>
  </si>
  <si>
    <t>Hoeffding adaptive trees for multi-label classification on data streams</t>
  </si>
  <si>
    <t>Federated Learning on Multilabel Evolving Data Streams</t>
  </si>
  <si>
    <t>Online multi-label streaming feature selection by affinity significance, affinity relevance and affinity redundancy</t>
  </si>
  <si>
    <t>Online Multi-Label Classification under Noisy and Changing Label Distribution</t>
  </si>
  <si>
    <t>citations</t>
  </si>
  <si>
    <t>year</t>
  </si>
  <si>
    <t>rel_calc</t>
  </si>
  <si>
    <t>relevant?</t>
  </si>
  <si>
    <t>purpose clear?</t>
  </si>
  <si>
    <t>method detailed?</t>
  </si>
  <si>
    <t>robust evaluation?</t>
  </si>
  <si>
    <t>IN?</t>
  </si>
  <si>
    <t>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</si>
</sst>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4"/>
      <name val="Calibri"/>
      <family val="2"/>
      <scheme val="minor"/>
    </font>
    <font>
      <sz val="11"/>
      <color rgb="FF4472C4"/>
      <name val="Calibri"/>
      <family val="2"/>
      <scheme val="minor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6" fillId="0" borderId="0" xfId="0" applyFont="1"/>
    <xf numFmtId="0" fontId="5" fillId="2" borderId="0" xfId="0" applyFont="1" applyFill="1"/>
    <xf numFmtId="0" fontId="4" fillId="0" borderId="0" xfId="0" applyFont="1"/>
    <xf numFmtId="0" fontId="7" fillId="0" borderId="0" xfId="0" applyFont="1" applyBorder="1" applyAlignment="1">
      <alignment vertical="center" wrapText="1" readingOrder="1"/>
    </xf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1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0B68-5FB2-47B1-BA7F-6319BEF439DC}">
  <dimension ref="A1:K70"/>
  <sheetViews>
    <sheetView tabSelected="1" zoomScale="87" zoomScaleNormal="130" workbookViewId="0">
      <selection activeCell="B26" sqref="B26"/>
    </sheetView>
  </sheetViews>
  <sheetFormatPr defaultRowHeight="14.4" x14ac:dyDescent="0.3"/>
  <cols>
    <col min="1" max="1" width="96.6640625" customWidth="1"/>
    <col min="6" max="6" width="14" customWidth="1"/>
    <col min="7" max="7" width="16.5546875" customWidth="1"/>
    <col min="8" max="8" width="25.33203125" customWidth="1"/>
    <col min="10" max="10" width="33" customWidth="1"/>
    <col min="12" max="12" width="30.77734375" customWidth="1"/>
  </cols>
  <sheetData>
    <row r="1" spans="1:10" x14ac:dyDescent="0.3">
      <c r="A1" t="s">
        <v>75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</row>
    <row r="2" spans="1:10" x14ac:dyDescent="0.3">
      <c r="A2" s="6" t="s">
        <v>43</v>
      </c>
      <c r="B2">
        <v>14</v>
      </c>
      <c r="C2">
        <v>2016</v>
      </c>
      <c r="D2">
        <f>((1-(2025-C2)/10)*B2)</f>
        <v>1.3999999999999997</v>
      </c>
      <c r="E2">
        <f>IF(D2&gt;=3,1,0)</f>
        <v>0</v>
      </c>
      <c r="F2">
        <v>1</v>
      </c>
      <c r="G2">
        <v>1</v>
      </c>
      <c r="H2">
        <v>0</v>
      </c>
      <c r="I2">
        <f t="shared" ref="I2:I65" si="0">E2+F2+G2+H2</f>
        <v>2</v>
      </c>
      <c r="J2" t="str">
        <f>IF(I2&gt;=3,"YES","NO")</f>
        <v>NO</v>
      </c>
    </row>
    <row r="3" spans="1:10" x14ac:dyDescent="0.3">
      <c r="A3" s="6" t="s">
        <v>14</v>
      </c>
      <c r="B3">
        <v>13</v>
      </c>
      <c r="C3">
        <v>2016</v>
      </c>
      <c r="D3">
        <f t="shared" ref="D3:D66" si="1">((1-(2025-C3)/10)*B3)</f>
        <v>1.2999999999999998</v>
      </c>
      <c r="E3">
        <f>IF(D3&gt;=3,1,0)</f>
        <v>0</v>
      </c>
      <c r="F3">
        <v>1</v>
      </c>
      <c r="G3">
        <v>1</v>
      </c>
      <c r="H3">
        <v>1</v>
      </c>
      <c r="I3">
        <f t="shared" si="0"/>
        <v>3</v>
      </c>
      <c r="J3" t="str">
        <f t="shared" ref="J3:J29" si="2">IF(I3&gt;=3,"YES","NO")</f>
        <v>YES</v>
      </c>
    </row>
    <row r="4" spans="1:10" x14ac:dyDescent="0.3">
      <c r="A4" s="6" t="s">
        <v>30</v>
      </c>
      <c r="B4">
        <v>56</v>
      </c>
      <c r="C4">
        <v>2016</v>
      </c>
      <c r="D4">
        <f t="shared" si="1"/>
        <v>5.5999999999999988</v>
      </c>
      <c r="E4">
        <f>IF(D4&gt;=3,1,0)</f>
        <v>1</v>
      </c>
      <c r="F4">
        <v>1</v>
      </c>
      <c r="G4">
        <v>1</v>
      </c>
      <c r="H4">
        <v>1</v>
      </c>
      <c r="I4">
        <f t="shared" si="0"/>
        <v>4</v>
      </c>
      <c r="J4" t="str">
        <f t="shared" si="2"/>
        <v>YES</v>
      </c>
    </row>
    <row r="5" spans="1:10" x14ac:dyDescent="0.3">
      <c r="A5" s="6" t="s">
        <v>37</v>
      </c>
      <c r="B5">
        <v>9</v>
      </c>
      <c r="C5">
        <v>2016</v>
      </c>
      <c r="D5">
        <f t="shared" si="1"/>
        <v>0.8999999999999998</v>
      </c>
      <c r="E5">
        <f>IF(D5&gt;=3,1,0)</f>
        <v>0</v>
      </c>
      <c r="F5">
        <v>1</v>
      </c>
      <c r="G5">
        <v>1</v>
      </c>
      <c r="H5">
        <v>1</v>
      </c>
      <c r="I5">
        <f t="shared" si="0"/>
        <v>3</v>
      </c>
      <c r="J5" t="str">
        <f t="shared" si="2"/>
        <v>YES</v>
      </c>
    </row>
    <row r="6" spans="1:10" x14ac:dyDescent="0.3">
      <c r="A6" s="7" t="s">
        <v>49</v>
      </c>
      <c r="B6">
        <v>61</v>
      </c>
      <c r="C6">
        <v>2017</v>
      </c>
      <c r="D6">
        <f t="shared" si="1"/>
        <v>12.199999999999998</v>
      </c>
      <c r="E6">
        <f>IF(D6&gt;=3,1,0)</f>
        <v>1</v>
      </c>
      <c r="F6">
        <v>1</v>
      </c>
      <c r="G6">
        <v>1</v>
      </c>
      <c r="H6">
        <v>1</v>
      </c>
      <c r="I6">
        <f t="shared" si="0"/>
        <v>4</v>
      </c>
      <c r="J6" t="str">
        <f t="shared" si="2"/>
        <v>YES</v>
      </c>
    </row>
    <row r="7" spans="1:10" x14ac:dyDescent="0.3">
      <c r="A7" s="8" t="s">
        <v>47</v>
      </c>
      <c r="B7">
        <v>17</v>
      </c>
      <c r="C7">
        <v>2017</v>
      </c>
      <c r="D7">
        <f t="shared" si="1"/>
        <v>3.3999999999999995</v>
      </c>
      <c r="E7">
        <f>IF(D7&gt;=3,1,0)</f>
        <v>1</v>
      </c>
      <c r="F7">
        <v>1</v>
      </c>
      <c r="G7">
        <v>1</v>
      </c>
      <c r="H7">
        <v>1</v>
      </c>
      <c r="I7">
        <f t="shared" si="0"/>
        <v>4</v>
      </c>
      <c r="J7" t="str">
        <f t="shared" si="2"/>
        <v>YES</v>
      </c>
    </row>
    <row r="8" spans="1:10" x14ac:dyDescent="0.3">
      <c r="A8" s="6" t="s">
        <v>38</v>
      </c>
      <c r="B8">
        <v>110</v>
      </c>
      <c r="C8">
        <v>2017</v>
      </c>
      <c r="D8">
        <f t="shared" si="1"/>
        <v>21.999999999999996</v>
      </c>
      <c r="E8">
        <f>IF(D8&gt;=3,1,0)</f>
        <v>1</v>
      </c>
      <c r="F8">
        <v>1</v>
      </c>
      <c r="G8">
        <v>1</v>
      </c>
      <c r="H8">
        <v>1</v>
      </c>
      <c r="I8">
        <f t="shared" si="0"/>
        <v>4</v>
      </c>
      <c r="J8" t="str">
        <f t="shared" si="2"/>
        <v>YES</v>
      </c>
    </row>
    <row r="9" spans="1:10" x14ac:dyDescent="0.3">
      <c r="A9" s="6" t="s">
        <v>29</v>
      </c>
      <c r="B9">
        <v>31</v>
      </c>
      <c r="C9">
        <v>2017</v>
      </c>
      <c r="D9">
        <f t="shared" si="1"/>
        <v>6.1999999999999984</v>
      </c>
      <c r="E9">
        <f>IF(D9&gt;=3,1,0)</f>
        <v>1</v>
      </c>
      <c r="F9">
        <v>1</v>
      </c>
      <c r="G9">
        <v>1</v>
      </c>
      <c r="H9">
        <v>1</v>
      </c>
      <c r="I9">
        <f t="shared" si="0"/>
        <v>4</v>
      </c>
      <c r="J9" t="str">
        <f t="shared" si="2"/>
        <v>YES</v>
      </c>
    </row>
    <row r="10" spans="1:10" x14ac:dyDescent="0.3">
      <c r="A10" s="6" t="s">
        <v>44</v>
      </c>
      <c r="B10">
        <v>34</v>
      </c>
      <c r="C10">
        <v>2018</v>
      </c>
      <c r="D10">
        <f t="shared" si="1"/>
        <v>10.200000000000001</v>
      </c>
      <c r="E10">
        <f>IF(D10&gt;=3,1,0)</f>
        <v>1</v>
      </c>
      <c r="F10">
        <v>1</v>
      </c>
      <c r="G10">
        <v>1</v>
      </c>
      <c r="H10">
        <v>1</v>
      </c>
      <c r="I10">
        <f t="shared" si="0"/>
        <v>4</v>
      </c>
      <c r="J10" t="str">
        <f t="shared" si="2"/>
        <v>YES</v>
      </c>
    </row>
    <row r="11" spans="1:10" x14ac:dyDescent="0.3">
      <c r="A11" s="6" t="s">
        <v>1</v>
      </c>
      <c r="B11">
        <v>52</v>
      </c>
      <c r="C11">
        <v>2018</v>
      </c>
      <c r="D11">
        <f t="shared" si="1"/>
        <v>15.600000000000001</v>
      </c>
      <c r="E11">
        <f>IF(D11&gt;=3,1,0)</f>
        <v>1</v>
      </c>
      <c r="F11">
        <v>1</v>
      </c>
      <c r="G11">
        <v>1</v>
      </c>
      <c r="H11">
        <v>1</v>
      </c>
      <c r="I11">
        <f t="shared" si="0"/>
        <v>4</v>
      </c>
      <c r="J11" t="str">
        <f t="shared" si="2"/>
        <v>YES</v>
      </c>
    </row>
    <row r="12" spans="1:10" x14ac:dyDescent="0.3">
      <c r="A12" s="6" t="s">
        <v>7</v>
      </c>
      <c r="B12">
        <v>5</v>
      </c>
      <c r="C12">
        <v>2018</v>
      </c>
      <c r="D12">
        <f t="shared" si="1"/>
        <v>1.5000000000000002</v>
      </c>
      <c r="E12">
        <f>IF(D12&gt;=3,1,0)</f>
        <v>0</v>
      </c>
      <c r="F12">
        <v>0</v>
      </c>
      <c r="G12">
        <v>0</v>
      </c>
      <c r="H12">
        <v>0</v>
      </c>
      <c r="I12">
        <f t="shared" si="0"/>
        <v>0</v>
      </c>
      <c r="J12" t="str">
        <f t="shared" si="2"/>
        <v>NO</v>
      </c>
    </row>
    <row r="13" spans="1:10" x14ac:dyDescent="0.3">
      <c r="A13" s="6" t="s">
        <v>25</v>
      </c>
      <c r="B13">
        <v>50</v>
      </c>
      <c r="C13">
        <v>2018</v>
      </c>
      <c r="D13">
        <f t="shared" si="1"/>
        <v>15.000000000000002</v>
      </c>
      <c r="E13">
        <f>IF(D13&gt;=3,1,0)</f>
        <v>1</v>
      </c>
      <c r="F13">
        <v>1</v>
      </c>
      <c r="G13">
        <v>1</v>
      </c>
      <c r="H13">
        <v>1</v>
      </c>
      <c r="I13">
        <f t="shared" si="0"/>
        <v>4</v>
      </c>
      <c r="J13" t="str">
        <f t="shared" si="2"/>
        <v>YES</v>
      </c>
    </row>
    <row r="14" spans="1:10" x14ac:dyDescent="0.3">
      <c r="A14" s="6" t="s">
        <v>23</v>
      </c>
      <c r="B14">
        <v>51</v>
      </c>
      <c r="C14">
        <v>2018</v>
      </c>
      <c r="D14">
        <f t="shared" si="1"/>
        <v>15.300000000000002</v>
      </c>
      <c r="E14">
        <f>IF(D14&gt;=3,1,0)</f>
        <v>1</v>
      </c>
      <c r="F14">
        <v>1</v>
      </c>
      <c r="G14">
        <v>1</v>
      </c>
      <c r="H14">
        <v>1</v>
      </c>
      <c r="I14">
        <f t="shared" si="0"/>
        <v>4</v>
      </c>
      <c r="J14" t="str">
        <f t="shared" si="2"/>
        <v>YES</v>
      </c>
    </row>
    <row r="15" spans="1:10" x14ac:dyDescent="0.3">
      <c r="A15" s="6" t="s">
        <v>11</v>
      </c>
      <c r="B15">
        <v>136</v>
      </c>
      <c r="C15">
        <v>2018</v>
      </c>
      <c r="D15">
        <f t="shared" si="1"/>
        <v>40.800000000000004</v>
      </c>
      <c r="E15">
        <f>IF(D15&gt;=3,1,0)</f>
        <v>1</v>
      </c>
      <c r="F15">
        <v>1</v>
      </c>
      <c r="G15">
        <v>1</v>
      </c>
      <c r="H15">
        <v>1</v>
      </c>
      <c r="I15">
        <f t="shared" si="0"/>
        <v>4</v>
      </c>
      <c r="J15" t="str">
        <f t="shared" si="2"/>
        <v>YES</v>
      </c>
    </row>
    <row r="16" spans="1:10" x14ac:dyDescent="0.3">
      <c r="A16" s="7" t="s">
        <v>50</v>
      </c>
      <c r="B16">
        <v>75</v>
      </c>
      <c r="C16">
        <v>2018</v>
      </c>
      <c r="D16">
        <f t="shared" si="1"/>
        <v>22.500000000000004</v>
      </c>
      <c r="E16">
        <f>IF(D16&gt;=3,1,0)</f>
        <v>1</v>
      </c>
      <c r="F16">
        <v>1</v>
      </c>
      <c r="G16">
        <v>1</v>
      </c>
      <c r="H16">
        <v>1</v>
      </c>
      <c r="I16">
        <f t="shared" si="0"/>
        <v>4</v>
      </c>
      <c r="J16" t="str">
        <f t="shared" si="2"/>
        <v>YES</v>
      </c>
    </row>
    <row r="17" spans="1:11" x14ac:dyDescent="0.3">
      <c r="A17" s="6" t="s">
        <v>35</v>
      </c>
      <c r="B17">
        <v>19</v>
      </c>
      <c r="C17">
        <v>2018</v>
      </c>
      <c r="D17">
        <f t="shared" si="1"/>
        <v>5.7000000000000011</v>
      </c>
      <c r="E17">
        <f>IF(D17&gt;=3,1,0)</f>
        <v>1</v>
      </c>
      <c r="F17">
        <v>1</v>
      </c>
      <c r="G17">
        <v>1</v>
      </c>
      <c r="H17">
        <v>1</v>
      </c>
      <c r="I17">
        <f t="shared" si="0"/>
        <v>4</v>
      </c>
      <c r="J17" t="str">
        <f t="shared" si="2"/>
        <v>YES</v>
      </c>
    </row>
    <row r="18" spans="1:11" x14ac:dyDescent="0.3">
      <c r="A18" s="9" t="s">
        <v>8</v>
      </c>
      <c r="B18">
        <v>8</v>
      </c>
      <c r="C18">
        <v>2019</v>
      </c>
      <c r="D18">
        <f t="shared" si="1"/>
        <v>3.2</v>
      </c>
      <c r="E18">
        <f>IF(D18&gt;=3,1,0)</f>
        <v>1</v>
      </c>
      <c r="F18">
        <v>1</v>
      </c>
      <c r="G18">
        <v>1</v>
      </c>
      <c r="H18">
        <v>1</v>
      </c>
      <c r="I18">
        <f t="shared" si="0"/>
        <v>4</v>
      </c>
      <c r="J18" t="str">
        <f t="shared" si="2"/>
        <v>YES</v>
      </c>
    </row>
    <row r="19" spans="1:11" x14ac:dyDescent="0.3">
      <c r="A19" s="9" t="s">
        <v>4</v>
      </c>
      <c r="B19">
        <v>21</v>
      </c>
      <c r="C19">
        <v>2019</v>
      </c>
      <c r="D19">
        <f t="shared" si="1"/>
        <v>8.4</v>
      </c>
      <c r="E19">
        <f>IF(D19&gt;=3,1,0)</f>
        <v>1</v>
      </c>
      <c r="F19">
        <v>1</v>
      </c>
      <c r="G19">
        <v>1</v>
      </c>
      <c r="H19">
        <v>1</v>
      </c>
      <c r="I19">
        <f t="shared" si="0"/>
        <v>4</v>
      </c>
      <c r="J19" t="str">
        <f t="shared" si="2"/>
        <v>YES</v>
      </c>
    </row>
    <row r="20" spans="1:11" x14ac:dyDescent="0.3">
      <c r="A20" s="6" t="s">
        <v>20</v>
      </c>
      <c r="B20">
        <v>43</v>
      </c>
      <c r="C20">
        <v>2019</v>
      </c>
      <c r="D20">
        <f t="shared" si="1"/>
        <v>17.2</v>
      </c>
      <c r="E20">
        <f>IF(D20&gt;=3,1,0)</f>
        <v>1</v>
      </c>
      <c r="F20">
        <v>1</v>
      </c>
      <c r="G20">
        <v>1</v>
      </c>
      <c r="H20">
        <v>1</v>
      </c>
      <c r="I20">
        <f t="shared" si="0"/>
        <v>4</v>
      </c>
      <c r="J20" t="str">
        <f t="shared" si="2"/>
        <v>YES</v>
      </c>
    </row>
    <row r="21" spans="1:11" x14ac:dyDescent="0.3">
      <c r="A21" s="9" t="s">
        <v>19</v>
      </c>
      <c r="B21">
        <v>9</v>
      </c>
      <c r="C21">
        <v>2019</v>
      </c>
      <c r="D21">
        <f t="shared" si="1"/>
        <v>3.6</v>
      </c>
      <c r="E21">
        <f>IF(D21&gt;=3,1,0)</f>
        <v>1</v>
      </c>
      <c r="F21">
        <v>1</v>
      </c>
      <c r="G21">
        <v>1</v>
      </c>
      <c r="H21">
        <v>1</v>
      </c>
      <c r="I21">
        <f t="shared" si="0"/>
        <v>4</v>
      </c>
      <c r="J21" t="str">
        <f t="shared" si="2"/>
        <v>YES</v>
      </c>
    </row>
    <row r="22" spans="1:11" x14ac:dyDescent="0.3">
      <c r="A22" s="9" t="s">
        <v>45</v>
      </c>
      <c r="B22">
        <v>30</v>
      </c>
      <c r="C22">
        <v>2019</v>
      </c>
      <c r="D22">
        <f t="shared" si="1"/>
        <v>12</v>
      </c>
      <c r="E22">
        <f>IF(D22&gt;=3,1,0)</f>
        <v>1</v>
      </c>
      <c r="F22">
        <v>1</v>
      </c>
      <c r="G22">
        <v>1</v>
      </c>
      <c r="H22">
        <v>1</v>
      </c>
      <c r="I22">
        <f t="shared" si="0"/>
        <v>4</v>
      </c>
      <c r="J22" t="str">
        <f t="shared" si="2"/>
        <v>YES</v>
      </c>
    </row>
    <row r="23" spans="1:11" x14ac:dyDescent="0.3">
      <c r="A23" s="6" t="s">
        <v>9</v>
      </c>
      <c r="B23">
        <v>6</v>
      </c>
      <c r="C23">
        <v>2019</v>
      </c>
      <c r="D23">
        <f t="shared" si="1"/>
        <v>2.4000000000000004</v>
      </c>
      <c r="E23">
        <f>IF(D23&gt;=3,1,0)</f>
        <v>0</v>
      </c>
      <c r="F23">
        <v>1</v>
      </c>
      <c r="G23">
        <v>1</v>
      </c>
      <c r="H23">
        <v>1</v>
      </c>
      <c r="I23">
        <f t="shared" si="0"/>
        <v>3</v>
      </c>
      <c r="J23" t="str">
        <f t="shared" si="2"/>
        <v>YES</v>
      </c>
    </row>
    <row r="24" spans="1:11" x14ac:dyDescent="0.3">
      <c r="A24" s="6" t="s">
        <v>36</v>
      </c>
      <c r="B24">
        <v>84</v>
      </c>
      <c r="C24">
        <v>2019</v>
      </c>
      <c r="D24">
        <f t="shared" si="1"/>
        <v>33.6</v>
      </c>
      <c r="E24">
        <f>IF(D24&gt;=3,1,0)</f>
        <v>1</v>
      </c>
      <c r="F24">
        <v>1</v>
      </c>
      <c r="G24">
        <v>1</v>
      </c>
      <c r="H24">
        <v>1</v>
      </c>
      <c r="I24">
        <f t="shared" si="0"/>
        <v>4</v>
      </c>
      <c r="J24" t="str">
        <f t="shared" si="2"/>
        <v>YES</v>
      </c>
    </row>
    <row r="25" spans="1:11" x14ac:dyDescent="0.3">
      <c r="A25" s="6" t="s">
        <v>42</v>
      </c>
      <c r="B25">
        <v>80</v>
      </c>
      <c r="C25">
        <v>2019</v>
      </c>
      <c r="D25">
        <f t="shared" si="1"/>
        <v>32</v>
      </c>
      <c r="E25">
        <f>IF(D25&gt;=3,1,0)</f>
        <v>1</v>
      </c>
      <c r="F25">
        <v>1</v>
      </c>
      <c r="G25">
        <v>1</v>
      </c>
      <c r="H25">
        <v>1</v>
      </c>
      <c r="I25">
        <f t="shared" si="0"/>
        <v>4</v>
      </c>
      <c r="J25" t="str">
        <f t="shared" si="2"/>
        <v>YES</v>
      </c>
    </row>
    <row r="26" spans="1:11" x14ac:dyDescent="0.3">
      <c r="A26" s="9" t="s">
        <v>0</v>
      </c>
      <c r="B26">
        <v>60</v>
      </c>
      <c r="C26">
        <v>2019</v>
      </c>
      <c r="D26">
        <f t="shared" si="1"/>
        <v>24</v>
      </c>
      <c r="E26">
        <f>IF(D26&gt;=3,1,0)</f>
        <v>1</v>
      </c>
      <c r="F26">
        <v>1</v>
      </c>
      <c r="G26">
        <v>1</v>
      </c>
      <c r="H26">
        <v>1</v>
      </c>
      <c r="I26">
        <f t="shared" si="0"/>
        <v>4</v>
      </c>
      <c r="J26" t="str">
        <f t="shared" si="2"/>
        <v>YES</v>
      </c>
    </row>
    <row r="27" spans="1:11" x14ac:dyDescent="0.3">
      <c r="A27" s="9" t="s">
        <v>12</v>
      </c>
      <c r="B27">
        <v>19</v>
      </c>
      <c r="C27">
        <v>2019</v>
      </c>
      <c r="D27">
        <f t="shared" si="1"/>
        <v>7.6000000000000005</v>
      </c>
      <c r="E27">
        <f>IF(D27&gt;=3,1,0)</f>
        <v>1</v>
      </c>
      <c r="F27">
        <v>1</v>
      </c>
      <c r="G27">
        <v>1</v>
      </c>
      <c r="H27">
        <v>1</v>
      </c>
      <c r="I27">
        <f t="shared" si="0"/>
        <v>4</v>
      </c>
      <c r="J27" t="str">
        <f t="shared" si="2"/>
        <v>YES</v>
      </c>
    </row>
    <row r="28" spans="1:11" x14ac:dyDescent="0.3">
      <c r="A28" s="6" t="s">
        <v>10</v>
      </c>
      <c r="B28">
        <v>13</v>
      </c>
      <c r="C28">
        <v>2019</v>
      </c>
      <c r="D28">
        <f t="shared" si="1"/>
        <v>5.2</v>
      </c>
      <c r="E28">
        <f>IF(D28&gt;=3,1,0)</f>
        <v>1</v>
      </c>
      <c r="F28">
        <v>1</v>
      </c>
      <c r="G28">
        <v>1</v>
      </c>
      <c r="H28">
        <v>1</v>
      </c>
      <c r="I28">
        <f t="shared" si="0"/>
        <v>4</v>
      </c>
      <c r="J28" t="str">
        <f t="shared" si="2"/>
        <v>YES</v>
      </c>
    </row>
    <row r="29" spans="1:11" x14ac:dyDescent="0.3">
      <c r="A29" s="9" t="s">
        <v>6</v>
      </c>
      <c r="B29">
        <v>18</v>
      </c>
      <c r="C29">
        <v>2020</v>
      </c>
      <c r="D29">
        <f t="shared" si="1"/>
        <v>9</v>
      </c>
      <c r="E29">
        <f>IF(D29&gt;=3,1,0)</f>
        <v>1</v>
      </c>
      <c r="F29">
        <v>1</v>
      </c>
      <c r="G29">
        <v>1</v>
      </c>
      <c r="H29">
        <v>1</v>
      </c>
      <c r="I29">
        <f t="shared" si="0"/>
        <v>4</v>
      </c>
      <c r="J29" t="str">
        <f t="shared" si="2"/>
        <v>YES</v>
      </c>
    </row>
    <row r="30" spans="1:11" x14ac:dyDescent="0.3">
      <c r="A30" s="8" t="s">
        <v>51</v>
      </c>
      <c r="B30" s="2">
        <v>15</v>
      </c>
      <c r="C30" s="2">
        <v>2020</v>
      </c>
      <c r="D30">
        <f t="shared" si="1"/>
        <v>7.5</v>
      </c>
      <c r="E30" s="2">
        <v>1</v>
      </c>
      <c r="F30" s="2">
        <v>1</v>
      </c>
      <c r="G30" s="2">
        <v>0</v>
      </c>
      <c r="H30" s="2">
        <v>0</v>
      </c>
      <c r="I30">
        <f t="shared" si="0"/>
        <v>2</v>
      </c>
      <c r="J30" s="3" t="s">
        <v>55</v>
      </c>
      <c r="K30" s="2"/>
    </row>
    <row r="31" spans="1:11" x14ac:dyDescent="0.3">
      <c r="A31" s="6" t="s">
        <v>40</v>
      </c>
      <c r="B31">
        <v>186</v>
      </c>
      <c r="C31">
        <v>2020</v>
      </c>
      <c r="D31">
        <f t="shared" si="1"/>
        <v>93</v>
      </c>
      <c r="E31">
        <f>IF(D31&gt;=3,1,0)</f>
        <v>1</v>
      </c>
      <c r="F31">
        <v>1</v>
      </c>
      <c r="G31">
        <v>1</v>
      </c>
      <c r="H31">
        <v>1</v>
      </c>
      <c r="I31">
        <f t="shared" si="0"/>
        <v>4</v>
      </c>
      <c r="J31" t="str">
        <f t="shared" ref="J31:J66" si="3">IF(I31&gt;=3,"YES","NO")</f>
        <v>YES</v>
      </c>
    </row>
    <row r="32" spans="1:11" x14ac:dyDescent="0.3">
      <c r="A32" s="7" t="s">
        <v>53</v>
      </c>
      <c r="B32">
        <v>21</v>
      </c>
      <c r="C32">
        <v>2020</v>
      </c>
      <c r="D32">
        <f t="shared" si="1"/>
        <v>10.5</v>
      </c>
      <c r="E32">
        <f>IF(D32&gt;=3,1,0)</f>
        <v>1</v>
      </c>
      <c r="F32">
        <v>1</v>
      </c>
      <c r="G32">
        <v>1</v>
      </c>
      <c r="H32">
        <v>1</v>
      </c>
      <c r="I32">
        <f t="shared" si="0"/>
        <v>4</v>
      </c>
      <c r="J32" t="str">
        <f t="shared" si="3"/>
        <v>YES</v>
      </c>
    </row>
    <row r="33" spans="1:10" x14ac:dyDescent="0.3">
      <c r="A33" s="7" t="s">
        <v>52</v>
      </c>
      <c r="B33">
        <v>24</v>
      </c>
      <c r="C33">
        <v>2020</v>
      </c>
      <c r="D33">
        <f t="shared" si="1"/>
        <v>12</v>
      </c>
      <c r="E33">
        <f>IF(D33&gt;=3,1,0)</f>
        <v>1</v>
      </c>
      <c r="F33">
        <v>1</v>
      </c>
      <c r="G33">
        <v>1</v>
      </c>
      <c r="H33">
        <v>1</v>
      </c>
      <c r="I33">
        <f t="shared" si="0"/>
        <v>4</v>
      </c>
      <c r="J33" t="str">
        <f t="shared" si="3"/>
        <v>YES</v>
      </c>
    </row>
    <row r="34" spans="1:10" x14ac:dyDescent="0.3">
      <c r="A34" s="9" t="s">
        <v>13</v>
      </c>
      <c r="B34">
        <v>49</v>
      </c>
      <c r="C34">
        <v>2020</v>
      </c>
      <c r="D34">
        <f t="shared" si="1"/>
        <v>24.5</v>
      </c>
      <c r="E34">
        <f>IF(D34&gt;=3,1,0)</f>
        <v>1</v>
      </c>
      <c r="F34">
        <v>1</v>
      </c>
      <c r="G34">
        <v>1</v>
      </c>
      <c r="H34">
        <v>1</v>
      </c>
      <c r="I34">
        <f t="shared" si="0"/>
        <v>4</v>
      </c>
      <c r="J34" t="str">
        <f t="shared" si="3"/>
        <v>YES</v>
      </c>
    </row>
    <row r="35" spans="1:10" x14ac:dyDescent="0.3">
      <c r="A35" s="6" t="s">
        <v>22</v>
      </c>
      <c r="B35">
        <v>6</v>
      </c>
      <c r="C35">
        <v>2021</v>
      </c>
      <c r="D35">
        <f t="shared" si="1"/>
        <v>3.5999999999999996</v>
      </c>
      <c r="E35">
        <f>IF(D35&gt;=3,1,0)</f>
        <v>1</v>
      </c>
      <c r="F35">
        <v>1</v>
      </c>
      <c r="G35">
        <v>1</v>
      </c>
      <c r="H35">
        <v>1</v>
      </c>
      <c r="I35">
        <f t="shared" si="0"/>
        <v>4</v>
      </c>
      <c r="J35" t="str">
        <f t="shared" si="3"/>
        <v>YES</v>
      </c>
    </row>
    <row r="36" spans="1:10" x14ac:dyDescent="0.3">
      <c r="A36" s="9" t="s">
        <v>24</v>
      </c>
      <c r="B36">
        <v>9</v>
      </c>
      <c r="C36">
        <v>2021</v>
      </c>
      <c r="D36">
        <f t="shared" si="1"/>
        <v>5.3999999999999995</v>
      </c>
      <c r="E36">
        <f>IF(D36&gt;=3,1,0)</f>
        <v>1</v>
      </c>
      <c r="F36">
        <v>1</v>
      </c>
      <c r="G36">
        <v>1</v>
      </c>
      <c r="H36">
        <v>1</v>
      </c>
      <c r="I36">
        <f t="shared" si="0"/>
        <v>4</v>
      </c>
      <c r="J36" t="str">
        <f t="shared" si="3"/>
        <v>YES</v>
      </c>
    </row>
    <row r="37" spans="1:10" x14ac:dyDescent="0.3">
      <c r="A37" s="9" t="s">
        <v>16</v>
      </c>
      <c r="B37">
        <v>2</v>
      </c>
      <c r="C37">
        <v>2021</v>
      </c>
      <c r="D37">
        <f t="shared" si="1"/>
        <v>1.2</v>
      </c>
      <c r="E37">
        <f>IF(D37&gt;=3,1,0)</f>
        <v>0</v>
      </c>
      <c r="F37">
        <v>1</v>
      </c>
      <c r="G37">
        <v>1</v>
      </c>
      <c r="H37">
        <v>0</v>
      </c>
      <c r="I37">
        <f t="shared" si="0"/>
        <v>2</v>
      </c>
      <c r="J37" t="str">
        <f t="shared" si="3"/>
        <v>NO</v>
      </c>
    </row>
    <row r="38" spans="1:10" x14ac:dyDescent="0.3">
      <c r="A38" s="6" t="s">
        <v>5</v>
      </c>
      <c r="B38">
        <v>16</v>
      </c>
      <c r="C38">
        <v>2021</v>
      </c>
      <c r="D38">
        <f t="shared" si="1"/>
        <v>9.6</v>
      </c>
      <c r="E38">
        <f>IF(D38&gt;=3,1,0)</f>
        <v>1</v>
      </c>
      <c r="F38">
        <v>1</v>
      </c>
      <c r="G38">
        <v>1</v>
      </c>
      <c r="H38">
        <v>1</v>
      </c>
      <c r="I38">
        <f t="shared" si="0"/>
        <v>4</v>
      </c>
      <c r="J38" t="str">
        <f t="shared" si="3"/>
        <v>YES</v>
      </c>
    </row>
    <row r="39" spans="1:10" x14ac:dyDescent="0.3">
      <c r="A39" s="7" t="s">
        <v>48</v>
      </c>
      <c r="B39">
        <v>19</v>
      </c>
      <c r="C39">
        <v>2021</v>
      </c>
      <c r="D39">
        <f t="shared" si="1"/>
        <v>11.4</v>
      </c>
      <c r="E39">
        <f>IF(D39&gt;=3,1,0)</f>
        <v>1</v>
      </c>
      <c r="F39">
        <v>1</v>
      </c>
      <c r="G39">
        <v>1</v>
      </c>
      <c r="H39">
        <v>1</v>
      </c>
      <c r="I39">
        <f t="shared" si="0"/>
        <v>4</v>
      </c>
      <c r="J39" t="str">
        <f t="shared" si="3"/>
        <v>YES</v>
      </c>
    </row>
    <row r="40" spans="1:10" x14ac:dyDescent="0.3">
      <c r="A40" s="6" t="s">
        <v>41</v>
      </c>
      <c r="B40">
        <v>52</v>
      </c>
      <c r="C40">
        <v>2021</v>
      </c>
      <c r="D40">
        <f t="shared" si="1"/>
        <v>31.2</v>
      </c>
      <c r="E40">
        <f>IF(D40&gt;=3,1,0)</f>
        <v>1</v>
      </c>
      <c r="F40">
        <v>1</v>
      </c>
      <c r="G40">
        <v>1</v>
      </c>
      <c r="H40">
        <v>1</v>
      </c>
      <c r="I40">
        <f t="shared" si="0"/>
        <v>4</v>
      </c>
      <c r="J40" t="str">
        <f t="shared" si="3"/>
        <v>YES</v>
      </c>
    </row>
    <row r="41" spans="1:10" x14ac:dyDescent="0.3">
      <c r="A41" s="9" t="s">
        <v>18</v>
      </c>
      <c r="B41">
        <v>158</v>
      </c>
      <c r="C41">
        <v>2022</v>
      </c>
      <c r="D41">
        <f t="shared" si="1"/>
        <v>110.6</v>
      </c>
      <c r="E41">
        <f>IF(D41&gt;=3,1,0)</f>
        <v>1</v>
      </c>
      <c r="F41">
        <v>1</v>
      </c>
      <c r="G41">
        <v>1</v>
      </c>
      <c r="H41">
        <v>1</v>
      </c>
      <c r="I41">
        <f t="shared" si="0"/>
        <v>4</v>
      </c>
      <c r="J41" t="str">
        <f t="shared" si="3"/>
        <v>YES</v>
      </c>
    </row>
    <row r="42" spans="1:10" x14ac:dyDescent="0.3">
      <c r="A42" s="9" t="s">
        <v>2</v>
      </c>
      <c r="B42">
        <v>46</v>
      </c>
      <c r="C42">
        <v>2022</v>
      </c>
      <c r="D42">
        <f t="shared" si="1"/>
        <v>32.199999999999996</v>
      </c>
      <c r="E42">
        <f>IF(D42&gt;=3,1,0)</f>
        <v>1</v>
      </c>
      <c r="F42">
        <v>1</v>
      </c>
      <c r="G42">
        <v>1</v>
      </c>
      <c r="H42">
        <v>1</v>
      </c>
      <c r="I42">
        <f t="shared" si="0"/>
        <v>4</v>
      </c>
      <c r="J42" t="str">
        <f t="shared" si="3"/>
        <v>YES</v>
      </c>
    </row>
    <row r="43" spans="1:10" x14ac:dyDescent="0.3">
      <c r="A43" s="7" t="s">
        <v>56</v>
      </c>
      <c r="B43">
        <v>5</v>
      </c>
      <c r="C43">
        <v>2022</v>
      </c>
      <c r="D43">
        <f t="shared" si="1"/>
        <v>3.5</v>
      </c>
      <c r="E43">
        <f>IF(D43&gt;=3,1,0)</f>
        <v>1</v>
      </c>
      <c r="F43">
        <v>1</v>
      </c>
      <c r="G43">
        <v>1</v>
      </c>
      <c r="H43">
        <v>1</v>
      </c>
      <c r="I43">
        <f t="shared" si="0"/>
        <v>4</v>
      </c>
      <c r="J43" t="str">
        <f t="shared" si="3"/>
        <v>YES</v>
      </c>
    </row>
    <row r="44" spans="1:10" x14ac:dyDescent="0.3">
      <c r="A44" s="6" t="s">
        <v>39</v>
      </c>
      <c r="B44">
        <v>24</v>
      </c>
      <c r="C44">
        <v>2022</v>
      </c>
      <c r="D44">
        <f t="shared" si="1"/>
        <v>16.799999999999997</v>
      </c>
      <c r="E44">
        <f>IF(D44&gt;=3,1,0)</f>
        <v>1</v>
      </c>
      <c r="F44">
        <v>1</v>
      </c>
      <c r="G44">
        <v>1</v>
      </c>
      <c r="H44">
        <v>1</v>
      </c>
      <c r="I44">
        <f t="shared" si="0"/>
        <v>4</v>
      </c>
      <c r="J44" t="str">
        <f t="shared" si="3"/>
        <v>YES</v>
      </c>
    </row>
    <row r="45" spans="1:10" x14ac:dyDescent="0.3">
      <c r="A45" s="6" t="s">
        <v>3</v>
      </c>
      <c r="B45">
        <v>30</v>
      </c>
      <c r="C45">
        <v>2022</v>
      </c>
      <c r="D45">
        <f t="shared" si="1"/>
        <v>21</v>
      </c>
      <c r="E45">
        <f>IF(D45&gt;=3,1,0)</f>
        <v>1</v>
      </c>
      <c r="F45">
        <v>1</v>
      </c>
      <c r="G45">
        <v>1</v>
      </c>
      <c r="H45">
        <v>1</v>
      </c>
      <c r="I45">
        <f t="shared" si="0"/>
        <v>4</v>
      </c>
      <c r="J45" t="str">
        <f t="shared" si="3"/>
        <v>YES</v>
      </c>
    </row>
    <row r="46" spans="1:10" x14ac:dyDescent="0.3">
      <c r="A46" s="9" t="s">
        <v>33</v>
      </c>
      <c r="B46">
        <v>4</v>
      </c>
      <c r="C46">
        <v>2022</v>
      </c>
      <c r="D46">
        <f t="shared" si="1"/>
        <v>2.8</v>
      </c>
      <c r="E46">
        <f>IF(D46&gt;=3,1,0)</f>
        <v>0</v>
      </c>
      <c r="F46">
        <v>1</v>
      </c>
      <c r="G46">
        <v>1</v>
      </c>
      <c r="H46">
        <v>1</v>
      </c>
      <c r="I46">
        <f t="shared" si="0"/>
        <v>3</v>
      </c>
      <c r="J46" t="str">
        <f t="shared" si="3"/>
        <v>YES</v>
      </c>
    </row>
    <row r="47" spans="1:10" x14ac:dyDescent="0.3">
      <c r="A47" s="9" t="s">
        <v>34</v>
      </c>
      <c r="B47">
        <v>10</v>
      </c>
      <c r="C47">
        <v>2022</v>
      </c>
      <c r="D47">
        <f t="shared" si="1"/>
        <v>7</v>
      </c>
      <c r="E47">
        <f>IF(D47&gt;=3,1,0)</f>
        <v>1</v>
      </c>
      <c r="F47">
        <v>1</v>
      </c>
      <c r="G47">
        <v>1</v>
      </c>
      <c r="H47">
        <v>1</v>
      </c>
      <c r="I47">
        <f t="shared" si="0"/>
        <v>4</v>
      </c>
      <c r="J47" t="str">
        <f t="shared" si="3"/>
        <v>YES</v>
      </c>
    </row>
    <row r="48" spans="1:10" x14ac:dyDescent="0.3">
      <c r="A48" s="6" t="s">
        <v>46</v>
      </c>
      <c r="B48">
        <v>28</v>
      </c>
      <c r="C48">
        <v>2022</v>
      </c>
      <c r="D48">
        <f t="shared" si="1"/>
        <v>19.599999999999998</v>
      </c>
      <c r="E48">
        <f>IF(D48&gt;=3,1,0)</f>
        <v>1</v>
      </c>
      <c r="F48">
        <v>1</v>
      </c>
      <c r="G48">
        <v>1</v>
      </c>
      <c r="H48">
        <v>1</v>
      </c>
      <c r="I48">
        <f t="shared" si="0"/>
        <v>4</v>
      </c>
      <c r="J48" t="str">
        <f t="shared" si="3"/>
        <v>YES</v>
      </c>
    </row>
    <row r="49" spans="1:10" x14ac:dyDescent="0.3">
      <c r="A49" s="9" t="s">
        <v>32</v>
      </c>
      <c r="B49">
        <v>11</v>
      </c>
      <c r="C49">
        <v>2022</v>
      </c>
      <c r="D49">
        <f t="shared" si="1"/>
        <v>7.6999999999999993</v>
      </c>
      <c r="E49">
        <f>IF(D49&gt;=3,1,0)</f>
        <v>1</v>
      </c>
      <c r="F49">
        <v>1</v>
      </c>
      <c r="G49">
        <v>1</v>
      </c>
      <c r="H49">
        <v>1</v>
      </c>
      <c r="I49">
        <f t="shared" si="0"/>
        <v>4</v>
      </c>
      <c r="J49" t="str">
        <f t="shared" si="3"/>
        <v>YES</v>
      </c>
    </row>
    <row r="50" spans="1:10" x14ac:dyDescent="0.3">
      <c r="A50" s="9" t="s">
        <v>28</v>
      </c>
      <c r="B50">
        <v>23</v>
      </c>
      <c r="C50">
        <v>2023</v>
      </c>
      <c r="D50">
        <f t="shared" si="1"/>
        <v>18.400000000000002</v>
      </c>
      <c r="E50">
        <f>IF(D50&gt;=3,1,0)</f>
        <v>1</v>
      </c>
      <c r="F50">
        <v>1</v>
      </c>
      <c r="G50">
        <v>1</v>
      </c>
      <c r="H50">
        <v>1</v>
      </c>
      <c r="I50">
        <f t="shared" si="0"/>
        <v>4</v>
      </c>
      <c r="J50" t="str">
        <f t="shared" si="3"/>
        <v>YES</v>
      </c>
    </row>
    <row r="51" spans="1:10" x14ac:dyDescent="0.3">
      <c r="A51" s="9" t="s">
        <v>21</v>
      </c>
      <c r="B51">
        <v>15</v>
      </c>
      <c r="C51">
        <v>2023</v>
      </c>
      <c r="D51">
        <f t="shared" si="1"/>
        <v>12</v>
      </c>
      <c r="E51">
        <f>IF(D51&gt;=3,1,0)</f>
        <v>1</v>
      </c>
      <c r="F51">
        <v>1</v>
      </c>
      <c r="G51">
        <v>1</v>
      </c>
      <c r="H51">
        <v>1</v>
      </c>
      <c r="I51">
        <f t="shared" si="0"/>
        <v>4</v>
      </c>
      <c r="J51" t="str">
        <f t="shared" si="3"/>
        <v>YES</v>
      </c>
    </row>
    <row r="52" spans="1:10" x14ac:dyDescent="0.3">
      <c r="A52" s="6" t="s">
        <v>31</v>
      </c>
      <c r="B52">
        <v>5</v>
      </c>
      <c r="C52">
        <v>2023</v>
      </c>
      <c r="D52">
        <f t="shared" si="1"/>
        <v>4</v>
      </c>
      <c r="E52">
        <f>IF(D52&gt;=3,1,0)</f>
        <v>1</v>
      </c>
      <c r="F52">
        <v>1</v>
      </c>
      <c r="G52">
        <v>1</v>
      </c>
      <c r="H52">
        <v>1</v>
      </c>
      <c r="I52">
        <f t="shared" si="0"/>
        <v>4</v>
      </c>
      <c r="J52" t="str">
        <f t="shared" si="3"/>
        <v>YES</v>
      </c>
    </row>
    <row r="53" spans="1:10" x14ac:dyDescent="0.3">
      <c r="A53" s="9" t="s">
        <v>26</v>
      </c>
      <c r="B53">
        <v>13</v>
      </c>
      <c r="C53">
        <v>2023</v>
      </c>
      <c r="D53">
        <f t="shared" si="1"/>
        <v>10.4</v>
      </c>
      <c r="E53">
        <f>IF(D53&gt;=3,1,0)</f>
        <v>1</v>
      </c>
      <c r="F53">
        <v>1</v>
      </c>
      <c r="G53">
        <v>1</v>
      </c>
      <c r="H53">
        <v>1</v>
      </c>
      <c r="I53">
        <f t="shared" si="0"/>
        <v>4</v>
      </c>
      <c r="J53" t="str">
        <f t="shared" si="3"/>
        <v>YES</v>
      </c>
    </row>
    <row r="54" spans="1:10" x14ac:dyDescent="0.3">
      <c r="A54" s="6" t="s">
        <v>17</v>
      </c>
      <c r="B54">
        <v>9</v>
      </c>
      <c r="C54">
        <v>2023</v>
      </c>
      <c r="D54">
        <f t="shared" si="1"/>
        <v>7.2</v>
      </c>
      <c r="E54">
        <f>IF(D54&gt;=3,1,0)</f>
        <v>1</v>
      </c>
      <c r="F54">
        <v>1</v>
      </c>
      <c r="G54">
        <v>1</v>
      </c>
      <c r="H54">
        <v>1</v>
      </c>
      <c r="I54">
        <f t="shared" si="0"/>
        <v>4</v>
      </c>
      <c r="J54" t="str">
        <f t="shared" si="3"/>
        <v>YES</v>
      </c>
    </row>
    <row r="55" spans="1:10" x14ac:dyDescent="0.3">
      <c r="A55" s="9" t="s">
        <v>15</v>
      </c>
      <c r="B55">
        <v>10</v>
      </c>
      <c r="C55">
        <v>2023</v>
      </c>
      <c r="D55">
        <f t="shared" si="1"/>
        <v>8</v>
      </c>
      <c r="E55">
        <f>IF(D55&gt;=3,1,0)</f>
        <v>1</v>
      </c>
      <c r="F55">
        <v>1</v>
      </c>
      <c r="G55">
        <v>1</v>
      </c>
      <c r="H55">
        <v>1</v>
      </c>
      <c r="I55">
        <f t="shared" si="0"/>
        <v>4</v>
      </c>
      <c r="J55" t="str">
        <f t="shared" si="3"/>
        <v>YES</v>
      </c>
    </row>
    <row r="56" spans="1:10" x14ac:dyDescent="0.3">
      <c r="A56" s="9" t="s">
        <v>27</v>
      </c>
      <c r="B56">
        <v>75</v>
      </c>
      <c r="C56">
        <v>2023</v>
      </c>
      <c r="D56">
        <f t="shared" si="1"/>
        <v>60</v>
      </c>
      <c r="E56">
        <f>IF(D56&gt;=3,1,0)</f>
        <v>1</v>
      </c>
      <c r="F56">
        <v>1</v>
      </c>
      <c r="G56">
        <v>1</v>
      </c>
      <c r="H56">
        <v>1</v>
      </c>
      <c r="I56">
        <f t="shared" si="0"/>
        <v>4</v>
      </c>
      <c r="J56" t="str">
        <f t="shared" si="3"/>
        <v>YES</v>
      </c>
    </row>
    <row r="57" spans="1:10" x14ac:dyDescent="0.3">
      <c r="A57" s="10" t="s">
        <v>57</v>
      </c>
      <c r="B57">
        <v>5</v>
      </c>
      <c r="C57">
        <v>2023</v>
      </c>
      <c r="D57">
        <f t="shared" si="1"/>
        <v>4</v>
      </c>
      <c r="E57">
        <f t="shared" ref="E57:E66" si="4">IF(D57&gt;=3,1,0)</f>
        <v>1</v>
      </c>
      <c r="F57">
        <v>1</v>
      </c>
      <c r="G57">
        <v>1</v>
      </c>
      <c r="H57">
        <v>1</v>
      </c>
      <c r="I57">
        <f t="shared" si="0"/>
        <v>4</v>
      </c>
      <c r="J57" t="str">
        <f t="shared" si="3"/>
        <v>YES</v>
      </c>
    </row>
    <row r="58" spans="1:10" x14ac:dyDescent="0.3">
      <c r="A58" s="4" t="s">
        <v>58</v>
      </c>
      <c r="B58">
        <v>2</v>
      </c>
      <c r="C58">
        <v>2024</v>
      </c>
      <c r="D58">
        <f t="shared" si="1"/>
        <v>1.8</v>
      </c>
      <c r="E58">
        <f t="shared" si="4"/>
        <v>0</v>
      </c>
      <c r="F58">
        <v>1</v>
      </c>
      <c r="G58">
        <v>1</v>
      </c>
      <c r="H58">
        <v>1</v>
      </c>
      <c r="I58">
        <f t="shared" si="0"/>
        <v>3</v>
      </c>
      <c r="J58" t="str">
        <f t="shared" si="3"/>
        <v>YES</v>
      </c>
    </row>
    <row r="59" spans="1:10" x14ac:dyDescent="0.3">
      <c r="A59" s="4" t="s">
        <v>59</v>
      </c>
      <c r="B59">
        <v>8</v>
      </c>
      <c r="C59">
        <v>2024</v>
      </c>
      <c r="D59">
        <f t="shared" si="1"/>
        <v>7.2</v>
      </c>
      <c r="E59">
        <f t="shared" si="4"/>
        <v>1</v>
      </c>
      <c r="F59">
        <v>1</v>
      </c>
      <c r="G59">
        <v>1</v>
      </c>
      <c r="H59">
        <v>1</v>
      </c>
      <c r="I59">
        <f t="shared" si="0"/>
        <v>4</v>
      </c>
      <c r="J59" t="str">
        <f t="shared" si="3"/>
        <v>YES</v>
      </c>
    </row>
    <row r="60" spans="1:10" x14ac:dyDescent="0.3">
      <c r="A60" s="4" t="s">
        <v>60</v>
      </c>
      <c r="B60">
        <v>18</v>
      </c>
      <c r="C60">
        <v>2024</v>
      </c>
      <c r="D60">
        <f t="shared" si="1"/>
        <v>16.2</v>
      </c>
      <c r="E60">
        <f t="shared" si="4"/>
        <v>1</v>
      </c>
      <c r="F60">
        <v>1</v>
      </c>
      <c r="G60">
        <v>1</v>
      </c>
      <c r="H60">
        <v>1</v>
      </c>
      <c r="I60">
        <f t="shared" si="0"/>
        <v>4</v>
      </c>
      <c r="J60" t="str">
        <f t="shared" si="3"/>
        <v>YES</v>
      </c>
    </row>
    <row r="61" spans="1:10" x14ac:dyDescent="0.3">
      <c r="A61" s="4" t="s">
        <v>61</v>
      </c>
      <c r="B61">
        <v>9</v>
      </c>
      <c r="C61">
        <v>2024</v>
      </c>
      <c r="D61">
        <f t="shared" si="1"/>
        <v>8.1</v>
      </c>
      <c r="E61">
        <f t="shared" si="4"/>
        <v>1</v>
      </c>
      <c r="F61">
        <v>1</v>
      </c>
      <c r="G61">
        <v>1</v>
      </c>
      <c r="H61">
        <v>1</v>
      </c>
      <c r="I61">
        <f t="shared" si="0"/>
        <v>4</v>
      </c>
      <c r="J61" t="str">
        <f t="shared" si="3"/>
        <v>YES</v>
      </c>
    </row>
    <row r="62" spans="1:10" x14ac:dyDescent="0.3">
      <c r="A62" s="4" t="s">
        <v>62</v>
      </c>
      <c r="B62">
        <v>8</v>
      </c>
      <c r="C62">
        <v>2024</v>
      </c>
      <c r="D62">
        <f t="shared" si="1"/>
        <v>7.2</v>
      </c>
      <c r="E62">
        <f t="shared" si="4"/>
        <v>1</v>
      </c>
      <c r="F62">
        <v>1</v>
      </c>
      <c r="G62">
        <v>1</v>
      </c>
      <c r="H62">
        <v>1</v>
      </c>
      <c r="I62">
        <f t="shared" si="0"/>
        <v>4</v>
      </c>
      <c r="J62" t="str">
        <f t="shared" si="3"/>
        <v>YES</v>
      </c>
    </row>
    <row r="63" spans="1:10" x14ac:dyDescent="0.3">
      <c r="A63" s="4" t="s">
        <v>63</v>
      </c>
      <c r="B63">
        <v>18</v>
      </c>
      <c r="C63">
        <v>2024</v>
      </c>
      <c r="D63">
        <f t="shared" si="1"/>
        <v>16.2</v>
      </c>
      <c r="E63">
        <f t="shared" si="4"/>
        <v>1</v>
      </c>
      <c r="F63">
        <v>1</v>
      </c>
      <c r="G63">
        <v>1</v>
      </c>
      <c r="H63">
        <v>1</v>
      </c>
      <c r="I63">
        <f t="shared" si="0"/>
        <v>4</v>
      </c>
      <c r="J63" t="str">
        <f t="shared" si="3"/>
        <v>YES</v>
      </c>
    </row>
    <row r="64" spans="1:10" x14ac:dyDescent="0.3">
      <c r="A64" s="5" t="s">
        <v>64</v>
      </c>
      <c r="B64">
        <v>3</v>
      </c>
      <c r="C64" s="5">
        <v>2025</v>
      </c>
      <c r="D64">
        <f t="shared" si="1"/>
        <v>3</v>
      </c>
      <c r="E64">
        <f t="shared" si="4"/>
        <v>1</v>
      </c>
      <c r="F64">
        <v>1</v>
      </c>
      <c r="G64">
        <v>1</v>
      </c>
      <c r="H64">
        <v>1</v>
      </c>
      <c r="I64">
        <f t="shared" si="0"/>
        <v>4</v>
      </c>
      <c r="J64" t="str">
        <f t="shared" si="3"/>
        <v>YES</v>
      </c>
    </row>
    <row r="65" spans="1:10" x14ac:dyDescent="0.3">
      <c r="A65" s="5" t="s">
        <v>65</v>
      </c>
      <c r="B65">
        <v>5</v>
      </c>
      <c r="C65" s="5">
        <v>2025</v>
      </c>
      <c r="D65">
        <f t="shared" si="1"/>
        <v>5</v>
      </c>
      <c r="E65">
        <f t="shared" si="4"/>
        <v>1</v>
      </c>
      <c r="F65">
        <v>1</v>
      </c>
      <c r="G65">
        <v>1</v>
      </c>
      <c r="H65">
        <v>1</v>
      </c>
      <c r="I65">
        <f t="shared" si="0"/>
        <v>4</v>
      </c>
      <c r="J65" t="str">
        <f t="shared" si="3"/>
        <v>YES</v>
      </c>
    </row>
    <row r="66" spans="1:10" x14ac:dyDescent="0.3">
      <c r="A66" s="5" t="s">
        <v>66</v>
      </c>
      <c r="B66">
        <v>3</v>
      </c>
      <c r="C66" s="5">
        <v>2025</v>
      </c>
      <c r="D66">
        <f t="shared" si="1"/>
        <v>3</v>
      </c>
      <c r="E66">
        <f t="shared" si="4"/>
        <v>1</v>
      </c>
      <c r="F66">
        <v>1</v>
      </c>
      <c r="G66">
        <v>1</v>
      </c>
      <c r="H66">
        <v>1</v>
      </c>
      <c r="I66">
        <f t="shared" ref="I66" si="5">E66+F66+G66+H66</f>
        <v>4</v>
      </c>
      <c r="J66" t="str">
        <f t="shared" si="3"/>
        <v>YES</v>
      </c>
    </row>
    <row r="67" spans="1:10" x14ac:dyDescent="0.3">
      <c r="A67" s="1"/>
    </row>
    <row r="68" spans="1:10" x14ac:dyDescent="0.3">
      <c r="A68" s="1"/>
    </row>
    <row r="69" spans="1:10" x14ac:dyDescent="0.3">
      <c r="A69" s="1"/>
    </row>
    <row r="70" spans="1:10" x14ac:dyDescent="0.3">
      <c r="A70" s="1"/>
    </row>
  </sheetData>
  <sortState xmlns:xlrd2="http://schemas.microsoft.com/office/spreadsheetml/2017/richdata2" ref="A2:K57">
    <sortCondition ref="C2:C57"/>
    <sortCondition ref="A2:A57"/>
  </sortState>
  <conditionalFormatting sqref="J68:J73 J75:J1048576 J1:J56">
    <cfRule type="cellIs" dxfId="1" priority="2" operator="equal">
      <formula>"NO"</formula>
    </cfRule>
  </conditionalFormatting>
  <conditionalFormatting sqref="J57:J66">
    <cfRule type="cellIs" dxfId="0" priority="1" operator="equal">
      <formula>"NO"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Hiago</dc:creator>
  <cp:lastModifiedBy>Hiago Oliveira</cp:lastModifiedBy>
  <dcterms:created xsi:type="dcterms:W3CDTF">2024-07-18T21:55:48Z</dcterms:created>
  <dcterms:modified xsi:type="dcterms:W3CDTF">2026-06-27T08:52:12Z</dcterms:modified>
</cp:coreProperties>
</file>